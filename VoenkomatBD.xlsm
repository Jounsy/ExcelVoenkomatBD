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-=Программирование задания=-\Кузнецов АВ\Версия 1.0\"/>
    </mc:Choice>
  </mc:AlternateContent>
  <xr:revisionPtr revIDLastSave="0" documentId="8_{F77244A5-F025-4855-A577-9D41EFCE0BDD}" xr6:coauthVersionLast="43" xr6:coauthVersionMax="43" xr10:uidLastSave="{00000000-0000-0000-0000-000000000000}"/>
  <bookViews>
    <workbookView xWindow="6636" yWindow="2436" windowWidth="23040" windowHeight="12204" xr2:uid="{00000000-000D-0000-FFFF-FFFF00000000}"/>
  </bookViews>
  <sheets>
    <sheet name="Лист1" sheetId="1" r:id="rId1"/>
    <sheet name="Лист2" sheetId="2" r:id="rId2"/>
    <sheet name="Лист3" sheetId="3" r:id="rId3"/>
  </sheets>
  <functionGroups builtInGroupCount="19"/>
  <definedNames>
    <definedName name="_xlnm._FilterDatabase" localSheetId="0" hidden="1">Лист1!$A$3:$CW$3</definedName>
  </definedNames>
  <calcPr calcId="191029"/>
</workbook>
</file>

<file path=xl/calcChain.xml><?xml version="1.0" encoding="utf-8"?>
<calcChain xmlns="http://schemas.openxmlformats.org/spreadsheetml/2006/main">
  <c r="D1" i="2" l="1"/>
  <c r="D54" i="2"/>
  <c r="D55" i="2"/>
  <c r="D56" i="2"/>
  <c r="D57" i="2"/>
  <c r="D58" i="2"/>
  <c r="D59" i="2"/>
  <c r="D60" i="2"/>
  <c r="D6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</calcChain>
</file>

<file path=xl/sharedStrings.xml><?xml version="1.0" encoding="utf-8"?>
<sst xmlns="http://schemas.openxmlformats.org/spreadsheetml/2006/main" count="362" uniqueCount="325">
  <si>
    <t>Фамилия</t>
  </si>
  <si>
    <t>Имя</t>
  </si>
  <si>
    <t>Отчество</t>
  </si>
  <si>
    <t>ПО_№ карточки Т-2</t>
  </si>
  <si>
    <t>Алфавит</t>
  </si>
  <si>
    <t>Пол</t>
  </si>
  <si>
    <t>Подразделение</t>
  </si>
  <si>
    <t>Служба</t>
  </si>
  <si>
    <t>СлПолностью</t>
  </si>
  <si>
    <t>Подраздел</t>
  </si>
  <si>
    <t>АдресМестаРаботы</t>
  </si>
  <si>
    <t>Число</t>
  </si>
  <si>
    <t>Месяц</t>
  </si>
  <si>
    <t>Год рождения</t>
  </si>
  <si>
    <t>Дата рождения</t>
  </si>
  <si>
    <t>Должность</t>
  </si>
  <si>
    <t>Разряд</t>
  </si>
  <si>
    <t>Кат-я должн</t>
  </si>
  <si>
    <t>РазРаб</t>
  </si>
  <si>
    <t>Годность</t>
  </si>
  <si>
    <t>ВУС</t>
  </si>
  <si>
    <t>ВУС-3</t>
  </si>
  <si>
    <t>РазрядЗапаса</t>
  </si>
  <si>
    <t>Состав</t>
  </si>
  <si>
    <t>Звание</t>
  </si>
  <si>
    <t>Отделение</t>
  </si>
  <si>
    <t>Солд/серж</t>
  </si>
  <si>
    <t>ГПП</t>
  </si>
  <si>
    <t>Отдел ВК_Название</t>
  </si>
  <si>
    <t>МП</t>
  </si>
  <si>
    <t>№ команды, партии</t>
  </si>
  <si>
    <t>Литер</t>
  </si>
  <si>
    <t>Подлежит бр-ю</t>
  </si>
  <si>
    <t>ОУ-СУ</t>
  </si>
  <si>
    <t>№ раздела</t>
  </si>
  <si>
    <t>№ пункта</t>
  </si>
  <si>
    <t>П/ч/р/п</t>
  </si>
  <si>
    <t>Дата постановки на СУ</t>
  </si>
  <si>
    <t>Дата обр</t>
  </si>
  <si>
    <t>Образование</t>
  </si>
  <si>
    <t>КодОбр по ОКИН</t>
  </si>
  <si>
    <t>Образ учреждение</t>
  </si>
  <si>
    <t>Дата окончания</t>
  </si>
  <si>
    <t>Квалификация по диплому</t>
  </si>
  <si>
    <t>Направление или специальность по диплому</t>
  </si>
  <si>
    <t>СерияНомер диплома</t>
  </si>
  <si>
    <t>Индекс по паспорту</t>
  </si>
  <si>
    <t>Адрес по паспорту</t>
  </si>
  <si>
    <t>Индекс фактический</t>
  </si>
  <si>
    <t>Адрес фактический</t>
  </si>
  <si>
    <t>КонтТелефона</t>
  </si>
  <si>
    <t>ДатаРегистрПМЖ</t>
  </si>
  <si>
    <t>Семейное положение</t>
  </si>
  <si>
    <t>КодСемПол по ОКИН</t>
  </si>
  <si>
    <t>1РодстНазв</t>
  </si>
  <si>
    <t>1РодстФИО</t>
  </si>
  <si>
    <t>1РодстДатаРожд</t>
  </si>
  <si>
    <t>2РодстНазв</t>
  </si>
  <si>
    <t>2РодстФИО</t>
  </si>
  <si>
    <t>2РодстДатаРожд</t>
  </si>
  <si>
    <t>3РодстНазв</t>
  </si>
  <si>
    <t>3РодстФИО</t>
  </si>
  <si>
    <t>3РодстДатаРожд</t>
  </si>
  <si>
    <t>4РодстНазв</t>
  </si>
  <si>
    <t>4РодстФИО</t>
  </si>
  <si>
    <t>4РодстДатаРожд</t>
  </si>
  <si>
    <t>5РодстНазв</t>
  </si>
  <si>
    <t>5РодстФИО</t>
  </si>
  <si>
    <t>5РодстДатаРожд</t>
  </si>
  <si>
    <t>6РодстНазв</t>
  </si>
  <si>
    <t>6РодстФИО</t>
  </si>
  <si>
    <t>6РодстДатаРожд</t>
  </si>
  <si>
    <t>7РодстНазв</t>
  </si>
  <si>
    <t>7РодстФИО</t>
  </si>
  <si>
    <t>7РодстДатаРожд</t>
  </si>
  <si>
    <t>Фамилия-род</t>
  </si>
  <si>
    <t>Имя-род</t>
  </si>
  <si>
    <t>Отчество-род</t>
  </si>
  <si>
    <t>Должность_род</t>
  </si>
  <si>
    <t>Табельный номер</t>
  </si>
  <si>
    <t>ИНН</t>
  </si>
  <si>
    <t>№ СтрахСв</t>
  </si>
  <si>
    <t>№ ТрудДог</t>
  </si>
  <si>
    <t>Дата ТрудДог</t>
  </si>
  <si>
    <t>Серия паспорта</t>
  </si>
  <si>
    <t>Номер паспорта</t>
  </si>
  <si>
    <t>Дата выдачи</t>
  </si>
  <si>
    <t>Кем выдан</t>
  </si>
  <si>
    <t>Номер приказа о назначении</t>
  </si>
  <si>
    <t>Дата назначения</t>
  </si>
  <si>
    <t>Дата приказа</t>
  </si>
  <si>
    <t>Место рождения</t>
  </si>
  <si>
    <t>СерияВоенника</t>
  </si>
  <si>
    <t>№_военника</t>
  </si>
  <si>
    <t>ДатаВыдачиВоенника</t>
  </si>
  <si>
    <t>@CARD</t>
  </si>
  <si>
    <t>@PODRAZD</t>
  </si>
  <si>
    <t>@TABN</t>
  </si>
  <si>
    <t>@NALOGN</t>
  </si>
  <si>
    <t>@STRAHN</t>
  </si>
  <si>
    <t>@ABC</t>
  </si>
  <si>
    <t>@DOGN</t>
  </si>
  <si>
    <t>@DOGDAT</t>
  </si>
  <si>
    <t>@FAM</t>
  </si>
  <si>
    <t>@NAME</t>
  </si>
  <si>
    <t>@IBNNAME</t>
  </si>
  <si>
    <t xml:space="preserve">@BIRTHM  </t>
  </si>
  <si>
    <t xml:space="preserve">@BIRTHY </t>
  </si>
  <si>
    <t>@BIRTHCITY</t>
  </si>
  <si>
    <t>@OKIN</t>
  </si>
  <si>
    <t>@GRADUATE</t>
  </si>
  <si>
    <t>@SCHOOL</t>
  </si>
  <si>
    <t>@SCHOOLEND</t>
  </si>
  <si>
    <t>@BRAK</t>
  </si>
  <si>
    <t>@FAM1</t>
  </si>
  <si>
    <t>@FAM1FIO</t>
  </si>
  <si>
    <t>@FAM1BIRTH</t>
  </si>
  <si>
    <t>FAM2</t>
  </si>
  <si>
    <t>FAM1BIRTH</t>
  </si>
  <si>
    <t>FAM1FIO</t>
  </si>
  <si>
    <t>FAM2FIO</t>
  </si>
  <si>
    <t>FAM2BIRTH</t>
  </si>
  <si>
    <t>FAM</t>
  </si>
  <si>
    <t>NAME</t>
  </si>
  <si>
    <t>IBNNAME</t>
  </si>
  <si>
    <t>CARD</t>
  </si>
  <si>
    <t>ABC</t>
  </si>
  <si>
    <t>POL</t>
  </si>
  <si>
    <t>PODRAZD</t>
  </si>
  <si>
    <t xml:space="preserve">BIRTHM  </t>
  </si>
  <si>
    <t xml:space="preserve">BIRTHY </t>
  </si>
  <si>
    <t>GRADUATE</t>
  </si>
  <si>
    <t>OKIN</t>
  </si>
  <si>
    <t>SCHOOL</t>
  </si>
  <si>
    <t>SCHOOLEND</t>
  </si>
  <si>
    <t>BRAK</t>
  </si>
  <si>
    <t>FAM1</t>
  </si>
  <si>
    <t>TABN</t>
  </si>
  <si>
    <t>NALOGN</t>
  </si>
  <si>
    <t>STRAHN</t>
  </si>
  <si>
    <t>DOGN</t>
  </si>
  <si>
    <t>DOGDAT</t>
  </si>
  <si>
    <t>BIRTHCITY</t>
  </si>
  <si>
    <t>FAM3</t>
  </si>
  <si>
    <t>FAM3FIO</t>
  </si>
  <si>
    <t>FAM3BIRTH</t>
  </si>
  <si>
    <t>FAM4</t>
  </si>
  <si>
    <t>FAM4FIO</t>
  </si>
  <si>
    <t>FAM4BIRTH</t>
  </si>
  <si>
    <t>FAM5</t>
  </si>
  <si>
    <t>FAM5FIO</t>
  </si>
  <si>
    <t>FAM5BIRTH</t>
  </si>
  <si>
    <t>FAM6</t>
  </si>
  <si>
    <t>FAM6FIO</t>
  </si>
  <si>
    <t>FAM6BIRTH</t>
  </si>
  <si>
    <t>FAM7</t>
  </si>
  <si>
    <t>PASSERIAL</t>
  </si>
  <si>
    <t>PASSNUM</t>
  </si>
  <si>
    <t>PASSDATE</t>
  </si>
  <si>
    <t>PASSOUT</t>
  </si>
  <si>
    <t>POSTIND</t>
  </si>
  <si>
    <t>POSTADDR</t>
  </si>
  <si>
    <t>FACTIND</t>
  </si>
  <si>
    <t>FACTADDR</t>
  </si>
  <si>
    <t>PHONE</t>
  </si>
  <si>
    <t>OKINK</t>
  </si>
  <si>
    <t>ZAPASKAT</t>
  </si>
  <si>
    <t>ZVANIE</t>
  </si>
  <si>
    <t>SOLDATY</t>
  </si>
  <si>
    <t>VUS</t>
  </si>
  <si>
    <t>GODNOST</t>
  </si>
  <si>
    <t>NAZDATA</t>
  </si>
  <si>
    <t>SLUZBA</t>
  </si>
  <si>
    <t>PRIKAZN</t>
  </si>
  <si>
    <t>@NOW</t>
  </si>
  <si>
    <t>@POLf</t>
  </si>
  <si>
    <t xml:space="preserve">@BIRTHD </t>
  </si>
  <si>
    <t>@OKINK</t>
  </si>
  <si>
    <t>@FAM2</t>
  </si>
  <si>
    <t>@FAM3</t>
  </si>
  <si>
    <t>@FAM4</t>
  </si>
  <si>
    <t>@FAM5</t>
  </si>
  <si>
    <t>@FAM6</t>
  </si>
  <si>
    <t>@FAM2FIO</t>
  </si>
  <si>
    <t>@FAM3FIO</t>
  </si>
  <si>
    <t>@FAM4FIO</t>
  </si>
  <si>
    <t>@FAM5FIO</t>
  </si>
  <si>
    <t>@FAM6FIO</t>
  </si>
  <si>
    <t>@FAM2BIRTH</t>
  </si>
  <si>
    <t>@FAM3BIRTH</t>
  </si>
  <si>
    <t>@FAM4BIRTH</t>
  </si>
  <si>
    <t>@FAM5BIRTH</t>
  </si>
  <si>
    <t>@FAM6BIRTH</t>
  </si>
  <si>
    <r>
      <t>@</t>
    </r>
    <r>
      <rPr>
        <sz val="11"/>
        <color rgb="FF000000"/>
        <rFont val="Calibri"/>
        <family val="2"/>
        <charset val="204"/>
        <scheme val="minor"/>
      </rPr>
      <t>PASSERIAL</t>
    </r>
  </si>
  <si>
    <t>@PASSNUM</t>
  </si>
  <si>
    <t>@PASSDATE</t>
  </si>
  <si>
    <r>
      <t>@</t>
    </r>
    <r>
      <rPr>
        <sz val="11"/>
        <color rgb="FF000000"/>
        <rFont val="Calibri"/>
        <family val="2"/>
        <charset val="204"/>
        <scheme val="minor"/>
      </rPr>
      <t>PASSOUT</t>
    </r>
  </si>
  <si>
    <t>@POSTIND</t>
  </si>
  <si>
    <t>@POSTADDR</t>
  </si>
  <si>
    <t>@FACTIND</t>
  </si>
  <si>
    <t>@FACTADDR</t>
  </si>
  <si>
    <t>@PHONE</t>
  </si>
  <si>
    <t>@ZAPASKAT</t>
  </si>
  <si>
    <t>@ZVANIE</t>
  </si>
  <si>
    <t>@SOLDATY</t>
  </si>
  <si>
    <t>@VUS</t>
  </si>
  <si>
    <t xml:space="preserve">@GODNOST </t>
  </si>
  <si>
    <t>@GODEN</t>
  </si>
  <si>
    <t>@NAZDATA</t>
  </si>
  <si>
    <t>@SLUZBA</t>
  </si>
  <si>
    <t>@PROFESSIA</t>
  </si>
  <si>
    <t xml:space="preserve">@PRIKAZN </t>
  </si>
  <si>
    <t>NOW</t>
  </si>
  <si>
    <t>POLf</t>
  </si>
  <si>
    <t xml:space="preserve">BIRTHD </t>
  </si>
  <si>
    <t xml:space="preserve">GODNOST </t>
  </si>
  <si>
    <t>GODEN</t>
  </si>
  <si>
    <t>PROFESSIA</t>
  </si>
  <si>
    <t xml:space="preserve">PRIKAZN </t>
  </si>
  <si>
    <t>keyArr (0)</t>
  </si>
  <si>
    <t>keyArr (1)</t>
  </si>
  <si>
    <t>keyArr (2)</t>
  </si>
  <si>
    <t>keyArr (3)</t>
  </si>
  <si>
    <t>keyArr (4)</t>
  </si>
  <si>
    <t>keyArr (5)</t>
  </si>
  <si>
    <t>keyArr (6)</t>
  </si>
  <si>
    <t>keyArr (7)</t>
  </si>
  <si>
    <t>keyArr (8)</t>
  </si>
  <si>
    <t>keyArr (9)</t>
  </si>
  <si>
    <t>keyArr (10)</t>
  </si>
  <si>
    <t>keyArr (11)</t>
  </si>
  <si>
    <t>keyArr (12)</t>
  </si>
  <si>
    <t>keyArr (13)</t>
  </si>
  <si>
    <t>keyArr (14)</t>
  </si>
  <si>
    <t>keyArr (15)</t>
  </si>
  <si>
    <t>keyArr (16)</t>
  </si>
  <si>
    <t>keyArr (17)</t>
  </si>
  <si>
    <t>keyArr (18)</t>
  </si>
  <si>
    <t>keyArr (19)</t>
  </si>
  <si>
    <t>keyArr (20)</t>
  </si>
  <si>
    <t>keyArr (21)</t>
  </si>
  <si>
    <t>keyArr (22)</t>
  </si>
  <si>
    <t>keyArr (23)</t>
  </si>
  <si>
    <t>keyArr (24)</t>
  </si>
  <si>
    <t>keyArr (25)</t>
  </si>
  <si>
    <t>keyArr (26)</t>
  </si>
  <si>
    <t>keyArr (27)</t>
  </si>
  <si>
    <t>keyArr (28)</t>
  </si>
  <si>
    <t>keyArr (29)</t>
  </si>
  <si>
    <t>keyArr (30)</t>
  </si>
  <si>
    <t>keyArr (31)</t>
  </si>
  <si>
    <t>keyArr (32)</t>
  </si>
  <si>
    <t>keyArr (33)</t>
  </si>
  <si>
    <t>keyArr (34)</t>
  </si>
  <si>
    <t>keyArr (35)</t>
  </si>
  <si>
    <t>keyArr (36)</t>
  </si>
  <si>
    <t>keyArr (37)</t>
  </si>
  <si>
    <t>keyArr (38)</t>
  </si>
  <si>
    <t>keyArr (39)</t>
  </si>
  <si>
    <t>keyArr (40)</t>
  </si>
  <si>
    <t>keyArr (41)</t>
  </si>
  <si>
    <t>keyArr (42)</t>
  </si>
  <si>
    <t>keyArr (43)</t>
  </si>
  <si>
    <t>keyArr (44)</t>
  </si>
  <si>
    <t>keyArr (45)</t>
  </si>
  <si>
    <t>keyArr (46)</t>
  </si>
  <si>
    <t>keyArr (47)</t>
  </si>
  <si>
    <t>keyArr (48)</t>
  </si>
  <si>
    <t>keyArr (49)</t>
  </si>
  <si>
    <t>keyArr (50)</t>
  </si>
  <si>
    <t>keyArr (51)</t>
  </si>
  <si>
    <t>keyArr (52)</t>
  </si>
  <si>
    <t>keyArr (53)</t>
  </si>
  <si>
    <t>keyArr (54)</t>
  </si>
  <si>
    <t>keyArr (55)</t>
  </si>
  <si>
    <t>keyArr (56)</t>
  </si>
  <si>
    <t>keyArr (57)</t>
  </si>
  <si>
    <t>keyArr (58)</t>
  </si>
  <si>
    <t>keyArr (59)</t>
  </si>
  <si>
    <t>keyArr (60)</t>
  </si>
  <si>
    <t>SURNAME</t>
  </si>
  <si>
    <t>FIRSTNAME</t>
  </si>
  <si>
    <t>SECONDNAME</t>
  </si>
  <si>
    <t>FIO1</t>
  </si>
  <si>
    <t>FIO2</t>
  </si>
  <si>
    <t>FIO3</t>
  </si>
  <si>
    <t>FIO4</t>
  </si>
  <si>
    <t>FIO5</t>
  </si>
  <si>
    <t>FIO6</t>
  </si>
  <si>
    <t>F2BIRTH</t>
  </si>
  <si>
    <t>F1BIRTH</t>
  </si>
  <si>
    <t>F3BIRTH</t>
  </si>
  <si>
    <t>F4BIRTH</t>
  </si>
  <si>
    <t>F5BIRTH</t>
  </si>
  <si>
    <t>F6BIRTH</t>
  </si>
  <si>
    <t>F7BIRTH</t>
  </si>
  <si>
    <t>FIO7</t>
  </si>
  <si>
    <t>DDB</t>
  </si>
  <si>
    <t>MMB</t>
  </si>
  <si>
    <t>YYYYB</t>
  </si>
  <si>
    <t>DOLGNOST</t>
  </si>
  <si>
    <t>LEVEL</t>
  </si>
  <si>
    <t>CATEGORY</t>
  </si>
  <si>
    <t>KVALIFICATIONDIPLOM</t>
  </si>
  <si>
    <t>NAPRAVLENIEDIPLOM</t>
  </si>
  <si>
    <t>DIPLOM</t>
  </si>
  <si>
    <t>WORKADDRESS</t>
  </si>
  <si>
    <t>RZD</t>
  </si>
  <si>
    <t>PNKT</t>
  </si>
  <si>
    <t>PRIKAZDATA</t>
  </si>
  <si>
    <t>OUSU</t>
  </si>
  <si>
    <t>ENDSCHOOL</t>
  </si>
  <si>
    <t>Серия и № ф №4</t>
  </si>
  <si>
    <t>Причина увольнения</t>
  </si>
  <si>
    <t>Дата увальнения</t>
  </si>
  <si>
    <t>Дата приказ об увольнении</t>
  </si>
  <si>
    <t>VOENNAME</t>
  </si>
  <si>
    <t>VOENNUMBER</t>
  </si>
  <si>
    <t>SERIA</t>
  </si>
  <si>
    <t>REGDATA</t>
  </si>
  <si>
    <t>DROJD</t>
  </si>
  <si>
    <t>VK</t>
  </si>
  <si>
    <t>102 лс</t>
  </si>
  <si>
    <t>SUSTAND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</si>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</sst>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6"/>
      <color indexed="8"/>
      <name val="Arial Narrow"/>
      <family val="2"/>
      <charset val="204"/>
    </font>
    <font>
      <sz val="10"/>
      <color indexed="8"/>
      <name val="Arial"/>
      <family val="2"/>
      <charset val="204"/>
    </font>
    <font>
      <b/>
      <i/>
      <sz val="14"/>
      <color theme="1"/>
      <name val="Courier New"/>
      <family val="3"/>
      <charset val="204"/>
    </font>
    <font>
      <b/>
      <i/>
      <sz val="16"/>
      <color rgb="FFFF9900"/>
      <name val="Courier New"/>
      <family val="3"/>
      <charset val="204"/>
    </font>
    <font>
      <b/>
      <sz val="14"/>
      <color rgb="FF000000"/>
      <name val="Courier New"/>
      <family val="3"/>
      <charset val="204"/>
    </font>
    <font>
      <b/>
      <sz val="14"/>
      <color theme="1"/>
      <name val="Courier New"/>
      <family val="3"/>
      <charset val="204"/>
    </font>
    <font>
      <sz val="10"/>
      <color theme="1"/>
      <name val="Courier New"/>
      <family val="3"/>
      <charset val="204"/>
    </font>
    <font>
      <sz val="9"/>
      <color theme="1"/>
      <name val="Courier New"/>
      <family val="3"/>
      <charset val="204"/>
    </font>
    <font>
      <sz val="11"/>
      <color rgb="FF000000"/>
      <name val="Calibri"/>
      <family val="2"/>
      <charset val="204"/>
      <scheme val="minor"/>
    </font>
    <font>
      <sz val="8"/>
      <color theme="1"/>
      <name val="Courier New"/>
      <family val="3"/>
      <charset val="204"/>
    </font>
    <font>
      <sz val="16"/>
      <color theme="1"/>
      <name val="Arial Narrow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00"/>
        <bgColor indexed="0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7" fillId="0" borderId="1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7" fillId="0" borderId="1" xfId="0" applyFont="1" applyBorder="1" applyAlignment="1">
      <alignment horizontal="left" wrapText="1"/>
    </xf>
    <xf numFmtId="0" fontId="7" fillId="0" borderId="2" xfId="0" applyFont="1" applyBorder="1" applyAlignment="1">
      <alignment horizontal="left" wrapText="1"/>
    </xf>
    <xf numFmtId="0" fontId="0" fillId="3" borderId="0" xfId="0" applyFill="1"/>
    <xf numFmtId="0" fontId="0" fillId="4" borderId="0" xfId="0" applyFill="1"/>
    <xf numFmtId="0" fontId="11" fillId="0" borderId="0" xfId="0" applyFont="1" applyFill="1" applyAlignment="1">
      <alignment wrapText="1"/>
    </xf>
    <xf numFmtId="0" fontId="1" fillId="2" borderId="3" xfId="1" applyFont="1" applyFill="1" applyBorder="1" applyAlignment="1">
      <alignment horizontal="center"/>
    </xf>
    <xf numFmtId="0" fontId="7" fillId="0" borderId="3" xfId="0" applyFont="1" applyBorder="1"/>
    <xf numFmtId="0" fontId="1" fillId="2" borderId="0" xfId="1" applyFont="1" applyFill="1" applyAlignment="1">
      <alignment horizontal="center"/>
    </xf>
    <xf numFmtId="0" fontId="0" fillId="0" borderId="3" xfId="0" applyBorder="1"/>
    <xf numFmtId="0" fontId="1" fillId="5" borderId="3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3" xfId="1" applyFont="1" applyFill="1" applyBorder="1" applyAlignment="1">
      <alignment horizontal="left"/>
    </xf>
    <xf numFmtId="0" fontId="0" fillId="0" borderId="3" xfId="0" applyBorder="1" applyAlignment="1">
      <alignment horizontal="center"/>
    </xf>
  </cellXfs>
  <cellStyles count="2">
    <cellStyle name="Обычный" xfId="0" builtinId="0"/>
    <cellStyle name="Обычный_Лист1" xfId="1" xr:uid="{00000000-0005-0000-0000-000001000000}"/>
  </cellStyles>
  <dxfs count="0"/>
  <tableStyles count="0" defaultTableStyle="TableStyleMedium9" defaultPivotStyle="PivotStyleLight16"/>
  <colors>
    <mruColors>
      <color rgb="FF99FFCC"/>
      <color rgb="FF66FFFF"/>
      <color rgb="FFE7D1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</xdr:row>
      <xdr:rowOff>28575</xdr:rowOff>
    </xdr:from>
    <xdr:to>
      <xdr:col>0</xdr:col>
      <xdr:colOff>838200</xdr:colOff>
      <xdr:row>2</xdr:row>
      <xdr:rowOff>0</xdr:rowOff>
    </xdr:to>
    <xdr:sp macro="[0]!createReportT2" textlink="">
      <xdr:nvSpPr>
        <xdr:cNvPr id="2" name="Прямоугольник с двумя скругленными противолежащими углам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6" y="28575"/>
          <a:ext cx="809624" cy="400050"/>
        </a:xfrm>
        <a:prstGeom prst="round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Отчет</a:t>
          </a:r>
          <a:r>
            <a:rPr lang="ru-RU" sz="1100" baseline="0"/>
            <a:t> Т2</a:t>
          </a:r>
          <a:endParaRPr lang="ru-RU" sz="1100"/>
        </a:p>
      </xdr:txBody>
    </xdr:sp>
    <xdr:clientData/>
  </xdr:twoCellAnchor>
  <xdr:twoCellAnchor>
    <xdr:from>
      <xdr:col>0</xdr:col>
      <xdr:colOff>866775</xdr:colOff>
      <xdr:row>1</xdr:row>
      <xdr:rowOff>19049</xdr:rowOff>
    </xdr:from>
    <xdr:to>
      <xdr:col>1</xdr:col>
      <xdr:colOff>323850</xdr:colOff>
      <xdr:row>1</xdr:row>
      <xdr:rowOff>561975</xdr:rowOff>
    </xdr:to>
    <xdr:sp macro="[0]!createReportF4" textlink="">
      <xdr:nvSpPr>
        <xdr:cNvPr id="3" name="Прямоугольник с двумя скругленными противолежащими углам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6775" y="19049"/>
          <a:ext cx="809625" cy="542926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Отчет Ф4</a:t>
          </a:r>
        </a:p>
      </xdr:txBody>
    </xdr:sp>
    <xdr:clientData/>
  </xdr:twoCellAnchor>
  <xdr:twoCellAnchor>
    <xdr:from>
      <xdr:col>1</xdr:col>
      <xdr:colOff>333377</xdr:colOff>
      <xdr:row>1</xdr:row>
      <xdr:rowOff>9525</xdr:rowOff>
    </xdr:from>
    <xdr:to>
      <xdr:col>1</xdr:col>
      <xdr:colOff>1219201</xdr:colOff>
      <xdr:row>1</xdr:row>
      <xdr:rowOff>581025</xdr:rowOff>
    </xdr:to>
    <xdr:sp macro="[0]!createReportChangeData" textlink="">
      <xdr:nvSpPr>
        <xdr:cNvPr id="4" name="Прямоугольник с двумя скругленными противолежащими углам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85927" y="9525"/>
          <a:ext cx="885824" cy="571500"/>
        </a:xfrm>
        <a:prstGeom prst="round2Diag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800"/>
            <a:t>Об</a:t>
          </a:r>
          <a:r>
            <a:rPr lang="ru-RU" sz="800" baseline="0"/>
            <a:t> </a:t>
          </a:r>
          <a:r>
            <a:rPr lang="ru-RU" sz="1000" baseline="0"/>
            <a:t>изменении</a:t>
          </a:r>
          <a:r>
            <a:rPr lang="ru-RU" sz="800" baseline="0"/>
            <a:t> сведений</a:t>
          </a:r>
          <a:endParaRPr lang="ru-RU" sz="800"/>
        </a:p>
      </xdr:txBody>
    </xdr:sp>
    <xdr:clientData/>
  </xdr:twoCellAnchor>
  <xdr:twoCellAnchor>
    <xdr:from>
      <xdr:col>1</xdr:col>
      <xdr:colOff>1238250</xdr:colOff>
      <xdr:row>1</xdr:row>
      <xdr:rowOff>0</xdr:rowOff>
    </xdr:from>
    <xdr:to>
      <xdr:col>2</xdr:col>
      <xdr:colOff>609600</xdr:colOff>
      <xdr:row>1</xdr:row>
      <xdr:rowOff>571500</xdr:rowOff>
    </xdr:to>
    <xdr:sp macro="[0]!createReportNewWorker" textlink="">
      <xdr:nvSpPr>
        <xdr:cNvPr id="5" name="Прямоугольник с двумя скругленными противолежащими углам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90800" y="466725"/>
          <a:ext cx="933450" cy="571500"/>
        </a:xfrm>
        <a:prstGeom prst="round2Diag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ru-RU" sz="1200"/>
            <a:t>Принят-уволен</a:t>
          </a:r>
        </a:p>
      </xdr:txBody>
    </xdr:sp>
    <xdr:clientData/>
  </xdr:twoCellAnchor>
  <xdr:twoCellAnchor>
    <xdr:from>
      <xdr:col>4</xdr:col>
      <xdr:colOff>19050</xdr:colOff>
      <xdr:row>1</xdr:row>
      <xdr:rowOff>9525</xdr:rowOff>
    </xdr:from>
    <xdr:to>
      <xdr:col>4</xdr:col>
      <xdr:colOff>1009650</xdr:colOff>
      <xdr:row>1</xdr:row>
      <xdr:rowOff>561975</xdr:rowOff>
    </xdr:to>
    <xdr:sp macro="[0]!createReestrZapasCitizen" textlink="">
      <xdr:nvSpPr>
        <xdr:cNvPr id="6" name="Прямоугольник с двумя вырезанными противолежащ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9525"/>
          <a:ext cx="990600" cy="552450"/>
        </a:xfrm>
        <a:prstGeom prst="snip2Diag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ru-RU" sz="1000"/>
            <a:t> СВЕРКА</a:t>
          </a:r>
        </a:p>
      </xdr:txBody>
    </xdr:sp>
    <xdr:clientData/>
  </xdr:twoCellAnchor>
  <xdr:twoCellAnchor>
    <xdr:from>
      <xdr:col>2</xdr:col>
      <xdr:colOff>619125</xdr:colOff>
      <xdr:row>1</xdr:row>
      <xdr:rowOff>9525</xdr:rowOff>
    </xdr:from>
    <xdr:to>
      <xdr:col>2</xdr:col>
      <xdr:colOff>1590675</xdr:colOff>
      <xdr:row>1</xdr:row>
      <xdr:rowOff>561975</xdr:rowOff>
    </xdr:to>
    <xdr:sp macro="[0]!createReportKoreshok" textlink="">
      <xdr:nvSpPr>
        <xdr:cNvPr id="7" name="Прямоугольник с двумя скругленными противолежащими углам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33775" y="476250"/>
          <a:ext cx="971550" cy="552450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ru-RU" sz="1200"/>
            <a:t>Корешок  расписка  ВБ</a:t>
          </a:r>
        </a:p>
      </xdr:txBody>
    </xdr:sp>
    <xdr:clientData/>
  </xdr:twoCellAnchor>
  <xdr:twoCellAnchor>
    <xdr:from>
      <xdr:col>8</xdr:col>
      <xdr:colOff>122465</xdr:colOff>
      <xdr:row>1</xdr:row>
      <xdr:rowOff>54428</xdr:rowOff>
    </xdr:from>
    <xdr:to>
      <xdr:col>8</xdr:col>
      <xdr:colOff>1115786</xdr:colOff>
      <xdr:row>2</xdr:row>
      <xdr:rowOff>13606</xdr:rowOff>
    </xdr:to>
    <xdr:sp macro="[0]!importFromSap" textlink="">
      <xdr:nvSpPr>
        <xdr:cNvPr id="8" name="Выноска со стрелкой вниз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450036" y="54428"/>
          <a:ext cx="993321" cy="585107"/>
        </a:xfrm>
        <a:prstGeom prst="downArrow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800">
              <a:solidFill>
                <a:schemeClr val="tx2">
                  <a:lumMod val="60000"/>
                  <a:lumOff val="40000"/>
                </a:schemeClr>
              </a:solidFill>
            </a:rPr>
            <a:t>SAP</a:t>
          </a:r>
          <a:endParaRPr lang="ru-RU" sz="2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5</xdr:col>
      <xdr:colOff>68035</xdr:colOff>
      <xdr:row>1</xdr:row>
      <xdr:rowOff>13607</xdr:rowOff>
    </xdr:from>
    <xdr:to>
      <xdr:col>6</xdr:col>
      <xdr:colOff>571500</xdr:colOff>
      <xdr:row>1</xdr:row>
      <xdr:rowOff>571500</xdr:rowOff>
    </xdr:to>
    <xdr:sp macro="[0]!createReestrSpecuchetOFF" textlink="">
      <xdr:nvSpPr>
        <xdr:cNvPr id="9" name="Прямоугольник с двумя вырезанными противолежащими углам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70071" y="285750"/>
          <a:ext cx="1020536" cy="557893"/>
        </a:xfrm>
        <a:prstGeom prst="snip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СПЕЦУЧЕТ</a:t>
          </a:r>
          <a:r>
            <a:rPr lang="en-US" sz="1100"/>
            <a:t> </a:t>
          </a:r>
          <a:r>
            <a:rPr lang="ru-RU" sz="1100"/>
            <a:t>СНЯТИЕ</a:t>
          </a:r>
        </a:p>
      </xdr:txBody>
    </xdr:sp>
    <xdr:clientData/>
  </xdr:twoCellAnchor>
  <xdr:twoCellAnchor>
    <xdr:from>
      <xdr:col>6</xdr:col>
      <xdr:colOff>585105</xdr:colOff>
      <xdr:row>1</xdr:row>
      <xdr:rowOff>27215</xdr:rowOff>
    </xdr:from>
    <xdr:to>
      <xdr:col>7</xdr:col>
      <xdr:colOff>1006927</xdr:colOff>
      <xdr:row>1</xdr:row>
      <xdr:rowOff>571501</xdr:rowOff>
    </xdr:to>
    <xdr:sp macro="[0]!createReestrSpecuchetON" textlink="">
      <xdr:nvSpPr>
        <xdr:cNvPr id="10" name="Прямоугольник с двумя вырезанными противолежащими углам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6504212" y="27215"/>
          <a:ext cx="1034144" cy="544286"/>
        </a:xfrm>
        <a:prstGeom prst="snip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СПЕЦУЧЕТ ПОСТАН-КА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W6"/>
  <sheetViews>
    <sheetView tabSelected="1" zoomScale="70" zoomScaleNormal="70" workbookViewId="0">
      <pane ySplit="3" topLeftCell="A4" activePane="bottomLeft" state="frozen"/>
      <selection activeCell="A2" sqref="A2"/>
      <selection pane="bottomLeft" activeCell="A4" sqref="A4"/>
    </sheetView>
  </sheetViews>
  <sheetFormatPr defaultRowHeight="20.100000000000001" customHeight="1" x14ac:dyDescent="0.3"/>
  <cols>
    <col min="1" max="1" width="20.33203125" customWidth="1"/>
    <col min="2" max="2" width="18.44140625" customWidth="1"/>
    <col min="3" max="3" width="22.88671875" customWidth="1"/>
    <col min="4" max="4" width="21.109375" customWidth="1"/>
    <col min="5" max="5" width="25.6640625" customWidth="1"/>
    <col min="6" max="6" width="7.6640625" style="21" customWidth="1"/>
    <col min="7" max="7" width="9.109375" customWidth="1"/>
    <col min="8" max="8" width="26.88671875" customWidth="1"/>
    <col min="9" max="9" width="16.88671875" style="21" customWidth="1"/>
    <col min="10" max="10" width="29.6640625" customWidth="1"/>
    <col min="11" max="11" width="18.88671875" customWidth="1"/>
    <col min="12" max="12" width="17.44140625" customWidth="1"/>
    <col min="13" max="15" width="9.109375" customWidth="1"/>
    <col min="16" max="16" width="19.44140625" customWidth="1"/>
    <col min="17" max="17" width="70.5546875" customWidth="1"/>
    <col min="18" max="18" width="9.109375" customWidth="1"/>
    <col min="19" max="19" width="20" customWidth="1"/>
    <col min="20" max="20" width="10.5546875" customWidth="1"/>
    <col min="21" max="21" width="11.33203125" customWidth="1"/>
    <col min="22" max="22" width="16.33203125" customWidth="1"/>
    <col min="23" max="23" width="11.44140625" customWidth="1"/>
    <col min="24" max="24" width="11" customWidth="1"/>
    <col min="25" max="25" width="9.109375" customWidth="1"/>
    <col min="26" max="26" width="16.6640625" style="21" customWidth="1"/>
    <col min="27" max="27" width="17.44140625" customWidth="1"/>
    <col min="28" max="28" width="12.109375" customWidth="1"/>
    <col min="29" max="29" width="7.88671875" customWidth="1"/>
    <col min="30" max="30" width="52" customWidth="1"/>
    <col min="31" max="31" width="9.109375" customWidth="1"/>
    <col min="32" max="32" width="11.44140625" customWidth="1"/>
    <col min="33" max="33" width="7.5546875" customWidth="1"/>
    <col min="34" max="34" width="7.6640625" customWidth="1"/>
    <col min="35" max="35" width="16.5546875" customWidth="1"/>
    <col min="36" max="36" width="24.33203125" customWidth="1"/>
    <col min="37" max="37" width="9.109375" style="13" customWidth="1"/>
    <col min="38" max="38" width="18.109375" customWidth="1"/>
    <col min="39" max="39" width="9.109375" customWidth="1"/>
    <col min="40" max="40" width="14" customWidth="1"/>
    <col min="41" max="41" width="16.109375" customWidth="1"/>
    <col min="42" max="42" width="14" customWidth="1"/>
    <col min="43" max="43" width="11" customWidth="1"/>
    <col min="44" max="44" width="20.5546875" customWidth="1"/>
    <col min="45" max="45" width="20.109375" customWidth="1"/>
    <col min="46" max="46" width="35.6640625" style="21" customWidth="1"/>
    <col min="47" max="47" width="60.88671875" style="21" customWidth="1"/>
    <col min="48" max="48" width="27.44140625" customWidth="1"/>
    <col min="49" max="49" width="15.44140625" customWidth="1"/>
    <col min="50" max="50" width="50" customWidth="1"/>
    <col min="51" max="51" width="11.44140625" customWidth="1"/>
    <col min="52" max="52" width="23" customWidth="1"/>
    <col min="53" max="53" width="17.88671875" style="21" customWidth="1"/>
    <col min="54" max="54" width="27.44140625" customWidth="1"/>
    <col min="55" max="55" width="15.109375" customWidth="1"/>
    <col min="56" max="56" width="13.5546875" customWidth="1"/>
    <col min="57" max="57" width="10.88671875" customWidth="1"/>
    <col min="58" max="58" width="18.33203125" style="22" customWidth="1"/>
    <col min="59" max="59" width="14.88671875" style="21" customWidth="1"/>
    <col min="60" max="60" width="9.109375" customWidth="1"/>
    <col min="61" max="62" width="15.33203125" customWidth="1"/>
    <col min="63" max="63" width="9.109375" customWidth="1"/>
    <col min="64" max="64" width="11.88671875" customWidth="1"/>
    <col min="65" max="65" width="15" customWidth="1"/>
    <col min="66" max="66" width="9.109375" customWidth="1"/>
    <col min="67" max="67" width="15.44140625" customWidth="1"/>
    <col min="68" max="68" width="14.44140625" customWidth="1"/>
    <col min="69" max="77" width="9.109375" customWidth="1"/>
    <col min="78" max="78" width="19" customWidth="1"/>
    <col min="79" max="79" width="12.88671875" customWidth="1"/>
    <col min="80" max="80" width="23" customWidth="1"/>
    <col min="81" max="81" width="51.5546875" customWidth="1"/>
    <col min="82" max="82" width="17.33203125" customWidth="1"/>
    <col min="83" max="83" width="24.109375" customWidth="1"/>
    <col min="84" max="84" width="20.109375" customWidth="1"/>
    <col min="85" max="85" width="18.109375" customWidth="1"/>
    <col min="86" max="86" width="17.5546875" customWidth="1"/>
    <col min="87" max="87" width="19.88671875" customWidth="1"/>
    <col min="88" max="88" width="15.88671875" customWidth="1"/>
    <col min="89" max="89" width="18.109375" customWidth="1"/>
    <col min="90" max="90" width="18.44140625" customWidth="1"/>
    <col min="91" max="91" width="14.33203125" customWidth="1"/>
    <col min="92" max="92" width="19.44140625" customWidth="1"/>
    <col min="93" max="93" width="18.88671875" customWidth="1"/>
    <col min="94" max="94" width="63.5546875" customWidth="1"/>
    <col min="95" max="95" width="9.109375" customWidth="1"/>
    <col min="96" max="96" width="15.109375" customWidth="1"/>
    <col min="97" max="97" width="17.6640625" customWidth="1"/>
    <col min="98" max="98" width="27.44140625" customWidth="1"/>
    <col min="99" max="99" width="16.33203125" customWidth="1"/>
    <col min="100" max="100" width="14" customWidth="1"/>
    <col min="101" max="101" width="19.33203125" customWidth="1"/>
  </cols>
  <sheetData>
    <row r="1" spans="1:101" ht="23.25" hidden="1" customHeight="1" x14ac:dyDescent="0.45">
      <c r="A1" s="3" t="s">
        <v>280</v>
      </c>
      <c r="B1" s="4" t="s">
        <v>281</v>
      </c>
      <c r="C1" s="4" t="s">
        <v>282</v>
      </c>
      <c r="D1" s="1"/>
      <c r="E1" s="1" t="s">
        <v>125</v>
      </c>
      <c r="F1" s="21" t="s">
        <v>126</v>
      </c>
      <c r="G1" t="s">
        <v>127</v>
      </c>
      <c r="H1" s="2" t="s">
        <v>128</v>
      </c>
      <c r="J1" t="s">
        <v>172</v>
      </c>
      <c r="L1" t="s">
        <v>306</v>
      </c>
      <c r="M1" s="5" t="s">
        <v>297</v>
      </c>
      <c r="N1" s="5" t="s">
        <v>298</v>
      </c>
      <c r="O1" s="5" t="s">
        <v>299</v>
      </c>
      <c r="P1" s="5" t="s">
        <v>320</v>
      </c>
      <c r="Q1" s="5" t="s">
        <v>300</v>
      </c>
      <c r="R1" s="5" t="s">
        <v>301</v>
      </c>
      <c r="S1" s="5" t="s">
        <v>302</v>
      </c>
      <c r="U1" t="s">
        <v>170</v>
      </c>
      <c r="V1" t="s">
        <v>169</v>
      </c>
      <c r="X1" t="s">
        <v>166</v>
      </c>
      <c r="Y1" t="s">
        <v>168</v>
      </c>
      <c r="Z1" t="s">
        <v>167</v>
      </c>
      <c r="AD1" t="s">
        <v>321</v>
      </c>
      <c r="AI1" t="s">
        <v>310</v>
      </c>
      <c r="AJ1" t="s">
        <v>318</v>
      </c>
      <c r="AK1" s="13" t="s">
        <v>307</v>
      </c>
      <c r="AL1" t="s">
        <v>308</v>
      </c>
      <c r="AN1" t="s">
        <v>323</v>
      </c>
      <c r="AP1" t="s">
        <v>131</v>
      </c>
      <c r="AQ1" t="s">
        <v>132</v>
      </c>
      <c r="AR1" t="s">
        <v>133</v>
      </c>
      <c r="AS1" t="s">
        <v>311</v>
      </c>
      <c r="AT1" s="21" t="s">
        <v>303</v>
      </c>
      <c r="AU1" s="21" t="s">
        <v>304</v>
      </c>
      <c r="AV1" t="s">
        <v>305</v>
      </c>
      <c r="AW1" t="s">
        <v>160</v>
      </c>
      <c r="AX1" t="s">
        <v>161</v>
      </c>
      <c r="AY1" t="s">
        <v>162</v>
      </c>
      <c r="AZ1" t="s">
        <v>163</v>
      </c>
      <c r="BA1" s="21" t="s">
        <v>164</v>
      </c>
      <c r="BB1" t="s">
        <v>319</v>
      </c>
      <c r="BC1" t="s">
        <v>135</v>
      </c>
      <c r="BD1" t="s">
        <v>165</v>
      </c>
      <c r="BE1" t="s">
        <v>136</v>
      </c>
      <c r="BF1" s="22" t="s">
        <v>283</v>
      </c>
      <c r="BG1" s="21" t="s">
        <v>290</v>
      </c>
      <c r="BH1" t="s">
        <v>117</v>
      </c>
      <c r="BI1" t="s">
        <v>284</v>
      </c>
      <c r="BJ1" t="s">
        <v>289</v>
      </c>
      <c r="BK1" t="s">
        <v>143</v>
      </c>
      <c r="BL1" t="s">
        <v>285</v>
      </c>
      <c r="BM1" t="s">
        <v>291</v>
      </c>
      <c r="BN1" t="s">
        <v>146</v>
      </c>
      <c r="BO1" t="s">
        <v>286</v>
      </c>
      <c r="BP1" t="s">
        <v>292</v>
      </c>
      <c r="BQ1" t="s">
        <v>149</v>
      </c>
      <c r="BR1" t="s">
        <v>287</v>
      </c>
      <c r="BS1" t="s">
        <v>293</v>
      </c>
      <c r="BT1" t="s">
        <v>152</v>
      </c>
      <c r="BU1" t="s">
        <v>288</v>
      </c>
      <c r="BV1" t="s">
        <v>294</v>
      </c>
      <c r="BW1" t="s">
        <v>155</v>
      </c>
      <c r="BX1" t="s">
        <v>296</v>
      </c>
      <c r="BY1" t="s">
        <v>295</v>
      </c>
      <c r="CD1" t="s">
        <v>137</v>
      </c>
      <c r="CE1" t="s">
        <v>138</v>
      </c>
      <c r="CF1" t="s">
        <v>139</v>
      </c>
      <c r="CG1" t="s">
        <v>140</v>
      </c>
      <c r="CH1" t="s">
        <v>141</v>
      </c>
      <c r="CI1" t="s">
        <v>156</v>
      </c>
      <c r="CJ1" t="s">
        <v>157</v>
      </c>
      <c r="CK1" t="s">
        <v>158</v>
      </c>
      <c r="CL1" t="s">
        <v>159</v>
      </c>
      <c r="CM1" t="s">
        <v>173</v>
      </c>
      <c r="CN1" t="s">
        <v>171</v>
      </c>
      <c r="CO1" t="s">
        <v>309</v>
      </c>
      <c r="CP1" s="5" t="s">
        <v>142</v>
      </c>
      <c r="CQ1" t="s">
        <v>316</v>
      </c>
      <c r="CR1" t="s">
        <v>317</v>
      </c>
    </row>
    <row r="2" spans="1:101" s="15" customFormat="1" ht="48.75" customHeight="1" x14ac:dyDescent="0.45">
      <c r="A2" s="3"/>
      <c r="B2" s="4"/>
      <c r="C2" s="4"/>
      <c r="D2" s="1"/>
      <c r="E2"/>
      <c r="F2" s="21"/>
      <c r="G2"/>
      <c r="H2" s="2"/>
      <c r="I2" s="21"/>
      <c r="J2"/>
      <c r="K2"/>
      <c r="L2"/>
      <c r="M2" s="17"/>
      <c r="N2" s="17"/>
      <c r="O2" s="5"/>
      <c r="P2"/>
      <c r="Q2" s="5"/>
      <c r="R2" s="5"/>
      <c r="S2" s="17"/>
      <c r="T2"/>
      <c r="U2"/>
      <c r="V2"/>
      <c r="W2"/>
      <c r="X2"/>
      <c r="Y2" s="19"/>
      <c r="Z2" s="24"/>
      <c r="AA2"/>
      <c r="AB2"/>
      <c r="AC2"/>
      <c r="AD2"/>
      <c r="AE2"/>
      <c r="AF2"/>
      <c r="AG2"/>
      <c r="AH2"/>
      <c r="AI2"/>
      <c r="AJ2"/>
      <c r="AK2" s="13"/>
      <c r="AL2"/>
      <c r="AM2"/>
      <c r="AN2"/>
      <c r="AO2"/>
      <c r="AP2" s="19"/>
      <c r="AQ2"/>
      <c r="AR2"/>
      <c r="AS2"/>
      <c r="AT2" s="21"/>
      <c r="AU2" s="21"/>
      <c r="AV2"/>
      <c r="AW2"/>
      <c r="AX2"/>
      <c r="AY2"/>
      <c r="AZ2"/>
      <c r="BA2" s="21"/>
      <c r="BB2"/>
      <c r="BC2"/>
      <c r="BD2"/>
      <c r="BE2"/>
      <c r="BF2" s="22"/>
      <c r="BG2" s="21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 s="5"/>
      <c r="CQ2"/>
      <c r="CR2"/>
      <c r="CS2"/>
      <c r="CT2"/>
      <c r="CU2"/>
      <c r="CV2"/>
      <c r="CW2"/>
    </row>
    <row r="3" spans="1:101" s="14" customFormat="1" ht="20.100000000000001" customHeight="1" x14ac:dyDescent="0.35">
      <c r="A3" s="16" t="s">
        <v>0</v>
      </c>
      <c r="B3" s="16" t="s">
        <v>1</v>
      </c>
      <c r="C3" s="16" t="s">
        <v>2</v>
      </c>
      <c r="D3" s="23"/>
      <c r="E3" s="16" t="s">
        <v>3</v>
      </c>
      <c r="F3" s="16" t="s">
        <v>4</v>
      </c>
      <c r="G3" s="16" t="s">
        <v>5</v>
      </c>
      <c r="H3" s="16" t="s">
        <v>6</v>
      </c>
      <c r="I3" s="16" t="s">
        <v>7</v>
      </c>
      <c r="J3" s="16" t="s">
        <v>8</v>
      </c>
      <c r="K3" s="16" t="s">
        <v>9</v>
      </c>
      <c r="L3" s="16" t="s">
        <v>10</v>
      </c>
      <c r="M3" s="16" t="s">
        <v>11</v>
      </c>
      <c r="N3" s="16" t="s">
        <v>12</v>
      </c>
      <c r="O3" s="16" t="s">
        <v>13</v>
      </c>
      <c r="P3" s="16" t="s">
        <v>14</v>
      </c>
      <c r="Q3" s="16" t="s">
        <v>15</v>
      </c>
      <c r="R3" s="18" t="s">
        <v>16</v>
      </c>
      <c r="S3" s="16" t="s">
        <v>17</v>
      </c>
      <c r="T3" s="16" t="s">
        <v>18</v>
      </c>
      <c r="U3" s="16" t="s">
        <v>19</v>
      </c>
      <c r="V3" s="16" t="s">
        <v>20</v>
      </c>
      <c r="W3" s="16" t="s">
        <v>21</v>
      </c>
      <c r="X3" s="16" t="s">
        <v>22</v>
      </c>
      <c r="Y3" s="16" t="s">
        <v>23</v>
      </c>
      <c r="Z3" s="16" t="s">
        <v>24</v>
      </c>
      <c r="AA3" s="16" t="s">
        <v>25</v>
      </c>
      <c r="AB3" s="16" t="s">
        <v>26</v>
      </c>
      <c r="AC3" s="16" t="s">
        <v>27</v>
      </c>
      <c r="AD3" s="16" t="s">
        <v>28</v>
      </c>
      <c r="AE3" s="16" t="s">
        <v>29</v>
      </c>
      <c r="AF3" s="16" t="s">
        <v>30</v>
      </c>
      <c r="AG3" s="16" t="s">
        <v>31</v>
      </c>
      <c r="AH3" s="16" t="s">
        <v>32</v>
      </c>
      <c r="AI3" s="16" t="s">
        <v>33</v>
      </c>
      <c r="AJ3" s="16" t="s">
        <v>312</v>
      </c>
      <c r="AK3" s="20" t="s">
        <v>34</v>
      </c>
      <c r="AL3" s="16" t="s">
        <v>35</v>
      </c>
      <c r="AM3" s="16" t="s">
        <v>36</v>
      </c>
      <c r="AN3" s="16" t="s">
        <v>37</v>
      </c>
      <c r="AO3" s="16" t="s">
        <v>38</v>
      </c>
      <c r="AP3" s="16" t="s">
        <v>39</v>
      </c>
      <c r="AQ3" s="16" t="s">
        <v>40</v>
      </c>
      <c r="AR3" s="16" t="s">
        <v>41</v>
      </c>
      <c r="AS3" s="16" t="s">
        <v>42</v>
      </c>
      <c r="AT3" s="16" t="s">
        <v>43</v>
      </c>
      <c r="AU3" s="16" t="s">
        <v>44</v>
      </c>
      <c r="AV3" s="16" t="s">
        <v>45</v>
      </c>
      <c r="AW3" s="16" t="s">
        <v>46</v>
      </c>
      <c r="AX3" s="16" t="s">
        <v>47</v>
      </c>
      <c r="AY3" s="16" t="s">
        <v>48</v>
      </c>
      <c r="AZ3" s="16" t="s">
        <v>49</v>
      </c>
      <c r="BA3" s="16" t="s">
        <v>50</v>
      </c>
      <c r="BB3" s="16" t="s">
        <v>51</v>
      </c>
      <c r="BC3" s="16" t="s">
        <v>52</v>
      </c>
      <c r="BD3" s="16" t="s">
        <v>53</v>
      </c>
      <c r="BE3" s="16" t="s">
        <v>54</v>
      </c>
      <c r="BF3" s="23" t="s">
        <v>55</v>
      </c>
      <c r="BG3" s="16" t="s">
        <v>56</v>
      </c>
      <c r="BH3" s="16" t="s">
        <v>57</v>
      </c>
      <c r="BI3" s="16" t="s">
        <v>58</v>
      </c>
      <c r="BJ3" s="16" t="s">
        <v>59</v>
      </c>
      <c r="BK3" s="16" t="s">
        <v>60</v>
      </c>
      <c r="BL3" s="16" t="s">
        <v>61</v>
      </c>
      <c r="BM3" s="16" t="s">
        <v>62</v>
      </c>
      <c r="BN3" s="16" t="s">
        <v>63</v>
      </c>
      <c r="BO3" s="16" t="s">
        <v>64</v>
      </c>
      <c r="BP3" s="16" t="s">
        <v>65</v>
      </c>
      <c r="BQ3" s="16" t="s">
        <v>66</v>
      </c>
      <c r="BR3" s="16" t="s">
        <v>67</v>
      </c>
      <c r="BS3" s="16" t="s">
        <v>68</v>
      </c>
      <c r="BT3" s="16" t="s">
        <v>69</v>
      </c>
      <c r="BU3" s="16" t="s">
        <v>70</v>
      </c>
      <c r="BV3" s="16" t="s">
        <v>71</v>
      </c>
      <c r="BW3" s="16" t="s">
        <v>72</v>
      </c>
      <c r="BX3" s="16" t="s">
        <v>73</v>
      </c>
      <c r="BY3" s="16" t="s">
        <v>74</v>
      </c>
      <c r="BZ3" s="16" t="s">
        <v>75</v>
      </c>
      <c r="CA3" s="16" t="s">
        <v>76</v>
      </c>
      <c r="CB3" s="16" t="s">
        <v>77</v>
      </c>
      <c r="CC3" s="16" t="s">
        <v>78</v>
      </c>
      <c r="CD3" s="16" t="s">
        <v>79</v>
      </c>
      <c r="CE3" s="16" t="s">
        <v>80</v>
      </c>
      <c r="CF3" s="16" t="s">
        <v>81</v>
      </c>
      <c r="CG3" s="16" t="s">
        <v>82</v>
      </c>
      <c r="CH3" s="16" t="s">
        <v>83</v>
      </c>
      <c r="CI3" s="16" t="s">
        <v>84</v>
      </c>
      <c r="CJ3" s="16" t="s">
        <v>85</v>
      </c>
      <c r="CK3" s="16" t="s">
        <v>86</v>
      </c>
      <c r="CL3" s="16" t="s">
        <v>87</v>
      </c>
      <c r="CM3" s="16" t="s">
        <v>88</v>
      </c>
      <c r="CN3" s="16" t="s">
        <v>89</v>
      </c>
      <c r="CO3" s="16" t="s">
        <v>90</v>
      </c>
      <c r="CP3" s="16" t="s">
        <v>91</v>
      </c>
      <c r="CQ3" s="16" t="s">
        <v>92</v>
      </c>
      <c r="CR3" s="16" t="s">
        <v>93</v>
      </c>
      <c r="CS3" s="16" t="s">
        <v>94</v>
      </c>
      <c r="CT3" s="16" t="s">
        <v>313</v>
      </c>
      <c r="CU3" s="16" t="s">
        <v>314</v>
      </c>
      <c r="CV3" s="16" t="s">
        <v>315</v>
      </c>
      <c r="CW3" s="16" t="s">
        <v>322</v>
      </c>
    </row>
    <row r="6" spans="1:101" ht="20.100000000000001" customHeight="1" x14ac:dyDescent="0.3">
      <c r="D6" t="s">
        <v>324</v>
      </c>
    </row>
  </sheetData>
  <autoFilter ref="A3:CW3" xr:uid="{00000000-0009-0000-0000-000000000000}"/>
  <pageMargins left="0.70866141732283472" right="0.70866141732283472" top="0.74803149606299213" bottom="0.74803149606299213" header="0.31496062992125984" footer="0.31496062992125984"/>
  <pageSetup paperSize="9" scale="5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1"/>
  <sheetViews>
    <sheetView workbookViewId="0">
      <selection activeCell="M14" sqref="M14"/>
    </sheetView>
  </sheetViews>
  <sheetFormatPr defaultRowHeight="14.4" x14ac:dyDescent="0.3"/>
  <cols>
    <col min="2" max="3" width="24.109375" customWidth="1"/>
    <col min="5" max="5" width="19" customWidth="1"/>
  </cols>
  <sheetData>
    <row r="1" spans="2:6" ht="18.600000000000001" x14ac:dyDescent="0.4">
      <c r="B1" s="1" t="s">
        <v>95</v>
      </c>
      <c r="C1" s="1" t="s">
        <v>125</v>
      </c>
      <c r="D1" t="str">
        <f>CONCATENATE(F1, " = ",C1)</f>
        <v>keyArr (0) = CARD</v>
      </c>
      <c r="F1" t="s">
        <v>219</v>
      </c>
    </row>
    <row r="2" spans="2:6" ht="21.6" x14ac:dyDescent="0.45">
      <c r="B2" s="2" t="s">
        <v>96</v>
      </c>
      <c r="C2" s="2" t="s">
        <v>128</v>
      </c>
      <c r="D2" t="str">
        <f>CONCATENATE(F2, " = ",C2)</f>
        <v>keyArr (1) = PODRAZD</v>
      </c>
      <c r="F2" t="s">
        <v>220</v>
      </c>
    </row>
    <row r="3" spans="2:6" x14ac:dyDescent="0.3">
      <c r="B3" s="6" t="s">
        <v>174</v>
      </c>
      <c r="C3" s="6" t="s">
        <v>212</v>
      </c>
      <c r="D3" t="str">
        <f t="shared" ref="D3:D61" si="0">CONCATENATE(F3, " = ",C3)</f>
        <v>keyArr (2) = NOW</v>
      </c>
      <c r="F3" t="s">
        <v>221</v>
      </c>
    </row>
    <row r="4" spans="2:6" x14ac:dyDescent="0.3">
      <c r="B4" s="6" t="s">
        <v>97</v>
      </c>
      <c r="C4" s="6" t="s">
        <v>137</v>
      </c>
      <c r="D4" t="str">
        <f t="shared" si="0"/>
        <v>keyArr (3) = TABN</v>
      </c>
      <c r="F4" t="s">
        <v>222</v>
      </c>
    </row>
    <row r="5" spans="2:6" x14ac:dyDescent="0.3">
      <c r="B5" s="6" t="s">
        <v>98</v>
      </c>
      <c r="C5" s="6" t="s">
        <v>138</v>
      </c>
      <c r="D5" t="str">
        <f t="shared" si="0"/>
        <v>keyArr (4) = NALOGN</v>
      </c>
      <c r="F5" t="s">
        <v>223</v>
      </c>
    </row>
    <row r="6" spans="2:6" x14ac:dyDescent="0.3">
      <c r="B6" s="6" t="s">
        <v>99</v>
      </c>
      <c r="C6" s="6" t="s">
        <v>139</v>
      </c>
      <c r="D6" t="str">
        <f t="shared" si="0"/>
        <v>keyArr (5) = STRAHN</v>
      </c>
      <c r="F6" t="s">
        <v>224</v>
      </c>
    </row>
    <row r="7" spans="2:6" x14ac:dyDescent="0.3">
      <c r="B7" s="6" t="s">
        <v>100</v>
      </c>
      <c r="C7" s="6" t="s">
        <v>126</v>
      </c>
      <c r="D7" t="str">
        <f t="shared" si="0"/>
        <v>keyArr (6) = ABC</v>
      </c>
      <c r="F7" t="s">
        <v>225</v>
      </c>
    </row>
    <row r="8" spans="2:6" x14ac:dyDescent="0.3">
      <c r="B8" s="6" t="s">
        <v>175</v>
      </c>
      <c r="C8" s="6" t="s">
        <v>213</v>
      </c>
      <c r="D8" t="str">
        <f t="shared" si="0"/>
        <v>keyArr (7) = POLf</v>
      </c>
      <c r="F8" t="s">
        <v>226</v>
      </c>
    </row>
    <row r="9" spans="2:6" x14ac:dyDescent="0.3">
      <c r="B9" s="7" t="s">
        <v>101</v>
      </c>
      <c r="C9" s="7" t="s">
        <v>140</v>
      </c>
      <c r="D9" t="str">
        <f t="shared" si="0"/>
        <v>keyArr (8) = DOGN</v>
      </c>
      <c r="F9" t="s">
        <v>227</v>
      </c>
    </row>
    <row r="10" spans="2:6" x14ac:dyDescent="0.3">
      <c r="B10" s="5" t="s">
        <v>102</v>
      </c>
      <c r="C10" s="5" t="s">
        <v>141</v>
      </c>
      <c r="D10" t="str">
        <f t="shared" si="0"/>
        <v>keyArr (9) = DOGDAT</v>
      </c>
      <c r="F10" t="s">
        <v>228</v>
      </c>
    </row>
    <row r="11" spans="2:6" ht="18.600000000000001" x14ac:dyDescent="0.4">
      <c r="B11" s="3" t="s">
        <v>103</v>
      </c>
      <c r="C11" s="3" t="s">
        <v>122</v>
      </c>
      <c r="D11" t="str">
        <f t="shared" si="0"/>
        <v>keyArr (10) = FAM</v>
      </c>
      <c r="F11" t="s">
        <v>229</v>
      </c>
    </row>
    <row r="12" spans="2:6" ht="18.600000000000001" x14ac:dyDescent="0.4">
      <c r="B12" s="4" t="s">
        <v>104</v>
      </c>
      <c r="C12" s="4" t="s">
        <v>123</v>
      </c>
      <c r="D12" t="str">
        <f t="shared" si="0"/>
        <v>keyArr (11) = NAME</v>
      </c>
      <c r="F12" t="s">
        <v>230</v>
      </c>
    </row>
    <row r="13" spans="2:6" ht="18.600000000000001" x14ac:dyDescent="0.4">
      <c r="B13" s="4" t="s">
        <v>105</v>
      </c>
      <c r="C13" s="4" t="s">
        <v>124</v>
      </c>
      <c r="D13" t="str">
        <f t="shared" si="0"/>
        <v>keyArr (12) = IBNNAME</v>
      </c>
      <c r="F13" t="s">
        <v>231</v>
      </c>
    </row>
    <row r="14" spans="2:6" x14ac:dyDescent="0.3">
      <c r="B14" s="5" t="s">
        <v>176</v>
      </c>
      <c r="C14" s="5" t="s">
        <v>214</v>
      </c>
      <c r="D14" t="str">
        <f t="shared" si="0"/>
        <v xml:space="preserve">keyArr (13) = BIRTHD </v>
      </c>
      <c r="F14" t="s">
        <v>232</v>
      </c>
    </row>
    <row r="15" spans="2:6" x14ac:dyDescent="0.3">
      <c r="B15" s="5" t="s">
        <v>106</v>
      </c>
      <c r="C15" s="5" t="s">
        <v>129</v>
      </c>
      <c r="D15" t="str">
        <f t="shared" si="0"/>
        <v xml:space="preserve">keyArr (14) = BIRTHM  </v>
      </c>
      <c r="F15" t="s">
        <v>233</v>
      </c>
    </row>
    <row r="16" spans="2:6" x14ac:dyDescent="0.3">
      <c r="B16" s="5" t="s">
        <v>107</v>
      </c>
      <c r="C16" s="5" t="s">
        <v>130</v>
      </c>
      <c r="D16" t="str">
        <f t="shared" si="0"/>
        <v xml:space="preserve">keyArr (15) = BIRTHY </v>
      </c>
      <c r="F16" t="s">
        <v>234</v>
      </c>
    </row>
    <row r="17" spans="2:6" x14ac:dyDescent="0.3">
      <c r="B17" s="5" t="s">
        <v>108</v>
      </c>
      <c r="C17" s="5" t="s">
        <v>142</v>
      </c>
      <c r="D17" t="str">
        <f t="shared" si="0"/>
        <v>keyArr (16) = BIRTHCITY</v>
      </c>
      <c r="F17" t="s">
        <v>235</v>
      </c>
    </row>
    <row r="18" spans="2:6" x14ac:dyDescent="0.3">
      <c r="B18" s="8" t="s">
        <v>109</v>
      </c>
      <c r="C18" s="8" t="s">
        <v>132</v>
      </c>
      <c r="D18" t="str">
        <f t="shared" si="0"/>
        <v>keyArr (17) = OKIN</v>
      </c>
      <c r="F18" t="s">
        <v>236</v>
      </c>
    </row>
    <row r="19" spans="2:6" x14ac:dyDescent="0.3">
      <c r="B19" s="5" t="s">
        <v>110</v>
      </c>
      <c r="C19" s="5" t="s">
        <v>131</v>
      </c>
      <c r="D19" t="str">
        <f t="shared" si="0"/>
        <v>keyArr (18) = GRADUATE</v>
      </c>
      <c r="F19" t="s">
        <v>237</v>
      </c>
    </row>
    <row r="20" spans="2:6" x14ac:dyDescent="0.3">
      <c r="B20" s="5" t="s">
        <v>112</v>
      </c>
      <c r="C20" s="5" t="s">
        <v>134</v>
      </c>
      <c r="D20" t="str">
        <f t="shared" si="0"/>
        <v>keyArr (19) = SCHOOLEND</v>
      </c>
      <c r="F20" t="s">
        <v>238</v>
      </c>
    </row>
    <row r="21" spans="2:6" x14ac:dyDescent="0.3">
      <c r="B21" s="5" t="s">
        <v>111</v>
      </c>
      <c r="C21" s="5" t="s">
        <v>133</v>
      </c>
      <c r="D21" t="str">
        <f t="shared" si="0"/>
        <v>keyArr (20) = SCHOOL</v>
      </c>
      <c r="F21" t="s">
        <v>239</v>
      </c>
    </row>
    <row r="22" spans="2:6" x14ac:dyDescent="0.3">
      <c r="B22" s="5" t="s">
        <v>113</v>
      </c>
      <c r="C22" s="5" t="s">
        <v>135</v>
      </c>
      <c r="D22" t="str">
        <f t="shared" si="0"/>
        <v>keyArr (21) = BRAK</v>
      </c>
      <c r="F22" t="s">
        <v>240</v>
      </c>
    </row>
    <row r="23" spans="2:6" ht="15" thickBot="1" x14ac:dyDescent="0.35">
      <c r="B23" s="8" t="s">
        <v>177</v>
      </c>
      <c r="C23" s="8" t="s">
        <v>165</v>
      </c>
      <c r="D23" t="str">
        <f t="shared" si="0"/>
        <v>keyArr (22) = OKINK</v>
      </c>
      <c r="F23" t="s">
        <v>241</v>
      </c>
    </row>
    <row r="24" spans="2:6" ht="15" thickBot="1" x14ac:dyDescent="0.35">
      <c r="B24" s="9" t="s">
        <v>114</v>
      </c>
      <c r="C24" s="9" t="s">
        <v>136</v>
      </c>
      <c r="D24" t="str">
        <f t="shared" si="0"/>
        <v>keyArr (23) = FAM1</v>
      </c>
      <c r="F24" t="s">
        <v>242</v>
      </c>
    </row>
    <row r="25" spans="2:6" ht="15" thickBot="1" x14ac:dyDescent="0.35">
      <c r="B25" s="10" t="s">
        <v>178</v>
      </c>
      <c r="C25" s="10" t="s">
        <v>117</v>
      </c>
      <c r="D25" t="str">
        <f t="shared" si="0"/>
        <v>keyArr (24) = FAM2</v>
      </c>
      <c r="F25" t="s">
        <v>243</v>
      </c>
    </row>
    <row r="26" spans="2:6" ht="15" thickBot="1" x14ac:dyDescent="0.35">
      <c r="B26" s="10" t="s">
        <v>179</v>
      </c>
      <c r="C26" s="10" t="s">
        <v>143</v>
      </c>
      <c r="D26" t="str">
        <f t="shared" si="0"/>
        <v>keyArr (25) = FAM3</v>
      </c>
      <c r="F26" t="s">
        <v>244</v>
      </c>
    </row>
    <row r="27" spans="2:6" ht="15" thickBot="1" x14ac:dyDescent="0.35">
      <c r="B27" s="10" t="s">
        <v>180</v>
      </c>
      <c r="C27" s="10" t="s">
        <v>146</v>
      </c>
      <c r="D27" t="str">
        <f t="shared" si="0"/>
        <v>keyArr (26) = FAM4</v>
      </c>
      <c r="F27" t="s">
        <v>245</v>
      </c>
    </row>
    <row r="28" spans="2:6" ht="15" thickBot="1" x14ac:dyDescent="0.35">
      <c r="B28" s="10" t="s">
        <v>181</v>
      </c>
      <c r="C28" s="10" t="s">
        <v>149</v>
      </c>
      <c r="D28" t="str">
        <f t="shared" si="0"/>
        <v>keyArr (27) = FAM5</v>
      </c>
      <c r="F28" t="s">
        <v>246</v>
      </c>
    </row>
    <row r="29" spans="2:6" ht="15" thickBot="1" x14ac:dyDescent="0.35">
      <c r="B29" s="10" t="s">
        <v>182</v>
      </c>
      <c r="C29" s="10" t="s">
        <v>152</v>
      </c>
      <c r="D29" t="str">
        <f t="shared" si="0"/>
        <v>keyArr (28) = FAM6</v>
      </c>
      <c r="F29" t="s">
        <v>247</v>
      </c>
    </row>
    <row r="30" spans="2:6" ht="15" thickBot="1" x14ac:dyDescent="0.35">
      <c r="B30" s="9" t="s">
        <v>115</v>
      </c>
      <c r="C30" s="9" t="s">
        <v>119</v>
      </c>
      <c r="D30" t="str">
        <f t="shared" si="0"/>
        <v>keyArr (29) = FAM1FIO</v>
      </c>
      <c r="F30" t="s">
        <v>248</v>
      </c>
    </row>
    <row r="31" spans="2:6" ht="15" thickBot="1" x14ac:dyDescent="0.35">
      <c r="B31" s="10" t="s">
        <v>183</v>
      </c>
      <c r="C31" s="10" t="s">
        <v>120</v>
      </c>
      <c r="D31" t="str">
        <f t="shared" si="0"/>
        <v>keyArr (30) = FAM2FIO</v>
      </c>
      <c r="F31" t="s">
        <v>249</v>
      </c>
    </row>
    <row r="32" spans="2:6" ht="15" thickBot="1" x14ac:dyDescent="0.35">
      <c r="B32" s="10" t="s">
        <v>184</v>
      </c>
      <c r="C32" s="10" t="s">
        <v>144</v>
      </c>
      <c r="D32" t="str">
        <f t="shared" si="0"/>
        <v>keyArr (31) = FAM3FIO</v>
      </c>
      <c r="F32" t="s">
        <v>250</v>
      </c>
    </row>
    <row r="33" spans="2:6" ht="15" thickBot="1" x14ac:dyDescent="0.35">
      <c r="B33" s="10" t="s">
        <v>185</v>
      </c>
      <c r="C33" s="10" t="s">
        <v>147</v>
      </c>
      <c r="D33" t="str">
        <f t="shared" si="0"/>
        <v>keyArr (32) = FAM4FIO</v>
      </c>
      <c r="F33" t="s">
        <v>251</v>
      </c>
    </row>
    <row r="34" spans="2:6" ht="15" thickBot="1" x14ac:dyDescent="0.35">
      <c r="B34" s="10" t="s">
        <v>186</v>
      </c>
      <c r="C34" s="10" t="s">
        <v>150</v>
      </c>
      <c r="D34" t="str">
        <f t="shared" si="0"/>
        <v>keyArr (33) = FAM5FIO</v>
      </c>
      <c r="F34" t="s">
        <v>252</v>
      </c>
    </row>
    <row r="35" spans="2:6" ht="15" thickBot="1" x14ac:dyDescent="0.35">
      <c r="B35" s="10" t="s">
        <v>187</v>
      </c>
      <c r="C35" s="10" t="s">
        <v>153</v>
      </c>
      <c r="D35" t="str">
        <f t="shared" si="0"/>
        <v>keyArr (34) = FAM6FIO</v>
      </c>
      <c r="F35" t="s">
        <v>253</v>
      </c>
    </row>
    <row r="36" spans="2:6" ht="15" thickBot="1" x14ac:dyDescent="0.35">
      <c r="B36" s="11" t="s">
        <v>116</v>
      </c>
      <c r="C36" s="11" t="s">
        <v>118</v>
      </c>
      <c r="D36" t="str">
        <f t="shared" si="0"/>
        <v>keyArr (35) = FAM1BIRTH</v>
      </c>
      <c r="F36" t="s">
        <v>254</v>
      </c>
    </row>
    <row r="37" spans="2:6" ht="15" thickBot="1" x14ac:dyDescent="0.35">
      <c r="B37" s="12" t="s">
        <v>188</v>
      </c>
      <c r="C37" s="12" t="s">
        <v>121</v>
      </c>
      <c r="D37" t="str">
        <f t="shared" si="0"/>
        <v>keyArr (36) = FAM2BIRTH</v>
      </c>
      <c r="F37" t="s">
        <v>255</v>
      </c>
    </row>
    <row r="38" spans="2:6" ht="15" thickBot="1" x14ac:dyDescent="0.35">
      <c r="B38" s="12" t="s">
        <v>189</v>
      </c>
      <c r="C38" s="12" t="s">
        <v>145</v>
      </c>
      <c r="D38" t="str">
        <f t="shared" si="0"/>
        <v>keyArr (37) = FAM3BIRTH</v>
      </c>
      <c r="F38" t="s">
        <v>256</v>
      </c>
    </row>
    <row r="39" spans="2:6" ht="15" thickBot="1" x14ac:dyDescent="0.35">
      <c r="B39" s="12" t="s">
        <v>190</v>
      </c>
      <c r="C39" s="12" t="s">
        <v>148</v>
      </c>
      <c r="D39" t="str">
        <f t="shared" si="0"/>
        <v>keyArr (38) = FAM4BIRTH</v>
      </c>
      <c r="F39" t="s">
        <v>257</v>
      </c>
    </row>
    <row r="40" spans="2:6" ht="15" thickBot="1" x14ac:dyDescent="0.35">
      <c r="B40" s="12" t="s">
        <v>191</v>
      </c>
      <c r="C40" s="12" t="s">
        <v>151</v>
      </c>
      <c r="D40" t="str">
        <f t="shared" si="0"/>
        <v>keyArr (39) = FAM5BIRTH</v>
      </c>
      <c r="F40" t="s">
        <v>258</v>
      </c>
    </row>
    <row r="41" spans="2:6" ht="15" thickBot="1" x14ac:dyDescent="0.35">
      <c r="B41" s="12" t="s">
        <v>192</v>
      </c>
      <c r="C41" s="12" t="s">
        <v>154</v>
      </c>
      <c r="D41" t="str">
        <f t="shared" si="0"/>
        <v>keyArr (40) = FAM6BIRTH</v>
      </c>
      <c r="F41" t="s">
        <v>259</v>
      </c>
    </row>
    <row r="42" spans="2:6" x14ac:dyDescent="0.3">
      <c r="B42" s="5" t="s">
        <v>193</v>
      </c>
      <c r="C42" s="5" t="s">
        <v>156</v>
      </c>
      <c r="D42" t="str">
        <f t="shared" si="0"/>
        <v>keyArr (41) = PASSERIAL</v>
      </c>
      <c r="F42" t="s">
        <v>260</v>
      </c>
    </row>
    <row r="43" spans="2:6" x14ac:dyDescent="0.3">
      <c r="B43" s="5" t="s">
        <v>194</v>
      </c>
      <c r="C43" s="5" t="s">
        <v>157</v>
      </c>
      <c r="D43" t="str">
        <f t="shared" si="0"/>
        <v>keyArr (42) = PASSNUM</v>
      </c>
      <c r="F43" t="s">
        <v>261</v>
      </c>
    </row>
    <row r="44" spans="2:6" x14ac:dyDescent="0.3">
      <c r="B44" s="5" t="s">
        <v>195</v>
      </c>
      <c r="C44" s="5" t="s">
        <v>158</v>
      </c>
      <c r="D44" t="str">
        <f t="shared" si="0"/>
        <v>keyArr (43) = PASSDATE</v>
      </c>
      <c r="F44" t="s">
        <v>262</v>
      </c>
    </row>
    <row r="45" spans="2:6" x14ac:dyDescent="0.3">
      <c r="B45" s="5" t="s">
        <v>196</v>
      </c>
      <c r="C45" s="5" t="s">
        <v>159</v>
      </c>
      <c r="D45" t="str">
        <f t="shared" si="0"/>
        <v>keyArr (44) = PASSOUT</v>
      </c>
      <c r="F45" t="s">
        <v>263</v>
      </c>
    </row>
    <row r="46" spans="2:6" x14ac:dyDescent="0.3">
      <c r="B46" s="5" t="s">
        <v>197</v>
      </c>
      <c r="C46" s="5" t="s">
        <v>160</v>
      </c>
      <c r="D46" t="str">
        <f t="shared" si="0"/>
        <v>keyArr (45) = POSTIND</v>
      </c>
      <c r="F46" t="s">
        <v>264</v>
      </c>
    </row>
    <row r="47" spans="2:6" x14ac:dyDescent="0.3">
      <c r="B47" s="5" t="s">
        <v>198</v>
      </c>
      <c r="C47" s="5" t="s">
        <v>161</v>
      </c>
      <c r="D47" t="str">
        <f t="shared" si="0"/>
        <v>keyArr (46) = POSTADDR</v>
      </c>
      <c r="F47" t="s">
        <v>265</v>
      </c>
    </row>
    <row r="48" spans="2:6" x14ac:dyDescent="0.3">
      <c r="B48" s="5" t="s">
        <v>199</v>
      </c>
      <c r="C48" s="5" t="s">
        <v>162</v>
      </c>
      <c r="D48" t="str">
        <f t="shared" si="0"/>
        <v>keyArr (47) = FACTIND</v>
      </c>
      <c r="F48" t="s">
        <v>266</v>
      </c>
    </row>
    <row r="49" spans="2:6" x14ac:dyDescent="0.3">
      <c r="B49" s="5" t="s">
        <v>200</v>
      </c>
      <c r="C49" s="5" t="s">
        <v>163</v>
      </c>
      <c r="D49" t="str">
        <f t="shared" si="0"/>
        <v>keyArr (48) = FACTADDR</v>
      </c>
      <c r="F49" t="s">
        <v>267</v>
      </c>
    </row>
    <row r="50" spans="2:6" x14ac:dyDescent="0.3">
      <c r="B50" s="5" t="s">
        <v>201</v>
      </c>
      <c r="C50" s="5" t="s">
        <v>164</v>
      </c>
      <c r="D50" t="str">
        <f t="shared" si="0"/>
        <v>keyArr (49) = PHONE</v>
      </c>
      <c r="F50" t="s">
        <v>268</v>
      </c>
    </row>
    <row r="51" spans="2:6" x14ac:dyDescent="0.3">
      <c r="B51" s="6" t="s">
        <v>202</v>
      </c>
      <c r="C51" s="6" t="s">
        <v>166</v>
      </c>
      <c r="D51" t="str">
        <f t="shared" si="0"/>
        <v>keyArr (50) = ZAPASKAT</v>
      </c>
      <c r="F51" t="s">
        <v>269</v>
      </c>
    </row>
    <row r="52" spans="2:6" x14ac:dyDescent="0.3">
      <c r="B52" s="6" t="s">
        <v>203</v>
      </c>
      <c r="C52" s="6" t="s">
        <v>167</v>
      </c>
      <c r="D52" t="str">
        <f t="shared" si="0"/>
        <v>keyArr (51) = ZVANIE</v>
      </c>
      <c r="F52" t="s">
        <v>270</v>
      </c>
    </row>
    <row r="53" spans="2:6" x14ac:dyDescent="0.3">
      <c r="B53" s="6" t="s">
        <v>204</v>
      </c>
      <c r="C53" s="6" t="s">
        <v>168</v>
      </c>
      <c r="D53" t="str">
        <f t="shared" si="0"/>
        <v>keyArr (52) = SOLDATY</v>
      </c>
      <c r="F53" t="s">
        <v>271</v>
      </c>
    </row>
    <row r="54" spans="2:6" x14ac:dyDescent="0.3">
      <c r="B54" s="6" t="s">
        <v>205</v>
      </c>
      <c r="C54" s="6" t="s">
        <v>169</v>
      </c>
      <c r="D54" t="str">
        <f t="shared" si="0"/>
        <v>keyArr (53) = VUS</v>
      </c>
      <c r="F54" t="s">
        <v>272</v>
      </c>
    </row>
    <row r="55" spans="2:6" x14ac:dyDescent="0.3">
      <c r="B55" s="6" t="s">
        <v>206</v>
      </c>
      <c r="C55" s="6" t="s">
        <v>215</v>
      </c>
      <c r="D55" t="str">
        <f t="shared" si="0"/>
        <v xml:space="preserve">keyArr (54) = GODNOST </v>
      </c>
      <c r="F55" t="s">
        <v>273</v>
      </c>
    </row>
    <row r="56" spans="2:6" x14ac:dyDescent="0.3">
      <c r="B56" s="6" t="s">
        <v>207</v>
      </c>
      <c r="C56" s="6" t="s">
        <v>216</v>
      </c>
      <c r="D56" t="str">
        <f t="shared" si="0"/>
        <v>keyArr (55) = GODEN</v>
      </c>
      <c r="F56" t="s">
        <v>274</v>
      </c>
    </row>
    <row r="57" spans="2:6" x14ac:dyDescent="0.3">
      <c r="B57" s="5" t="s">
        <v>208</v>
      </c>
      <c r="C57" s="5" t="s">
        <v>171</v>
      </c>
      <c r="D57" t="str">
        <f t="shared" si="0"/>
        <v>keyArr (56) = NAZDATA</v>
      </c>
      <c r="F57" t="s">
        <v>275</v>
      </c>
    </row>
    <row r="58" spans="2:6" x14ac:dyDescent="0.3">
      <c r="B58" s="5" t="s">
        <v>209</v>
      </c>
      <c r="C58" s="5" t="s">
        <v>172</v>
      </c>
      <c r="D58" t="str">
        <f t="shared" si="0"/>
        <v>keyArr (57) = SLUZBA</v>
      </c>
      <c r="F58" t="s">
        <v>276</v>
      </c>
    </row>
    <row r="59" spans="2:6" x14ac:dyDescent="0.3">
      <c r="B59" s="5" t="s">
        <v>210</v>
      </c>
      <c r="C59" s="5" t="s">
        <v>217</v>
      </c>
      <c r="D59" t="str">
        <f t="shared" si="0"/>
        <v>keyArr (58) = PROFESSIA</v>
      </c>
      <c r="F59" t="s">
        <v>277</v>
      </c>
    </row>
    <row r="60" spans="2:6" x14ac:dyDescent="0.3">
      <c r="B60" s="5" t="s">
        <v>211</v>
      </c>
      <c r="C60" s="5" t="s">
        <v>218</v>
      </c>
      <c r="D60" t="str">
        <f t="shared" si="0"/>
        <v xml:space="preserve">keyArr (59) = PRIKAZN </v>
      </c>
      <c r="F60" t="s">
        <v>278</v>
      </c>
    </row>
    <row r="61" spans="2:6" x14ac:dyDescent="0.3">
      <c r="B61" s="5" t="s">
        <v>208</v>
      </c>
      <c r="C61" s="5" t="s">
        <v>171</v>
      </c>
      <c r="D61" t="str">
        <f t="shared" si="0"/>
        <v>keyArr (60) = NAZDATA</v>
      </c>
      <c r="F61" t="s">
        <v>279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tls_kuznetsov_avl</dc:creator>
  <cp:lastModifiedBy>Snowman</cp:lastModifiedBy>
  <cp:lastPrinted>2018-06-22T11:11:19Z</cp:lastPrinted>
  <dcterms:created xsi:type="dcterms:W3CDTF">2017-11-02T08:01:10Z</dcterms:created>
  <dcterms:modified xsi:type="dcterms:W3CDTF">2020-03-04T09:36:52Z</dcterms:modified>
</cp:coreProperties>
</file>